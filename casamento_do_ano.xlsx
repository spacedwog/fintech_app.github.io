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amento do An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<sst xmlns="http://schemas.openxmlformats.org/spreadsheetml/2006/main" count="76" uniqueCount="40">
  <si>
    <t xml:space="preserve">CASAMENTO DO ANO</t>
  </si>
  <si>
    <t xml:space="preserve">Descrição dos Gastos</t>
  </si>
  <si>
    <t xml:space="preserve">Forma Pagamento</t>
  </si>
  <si>
    <t xml:space="preserve">Categoria</t>
  </si>
  <si>
    <t xml:space="preserve">Status</t>
  </si>
  <si>
    <t xml:space="preserve">Valor Total Ano</t>
  </si>
  <si>
    <t xml:space="preserve">Total Pago</t>
  </si>
  <si>
    <t xml:space="preserve">Janeiro - 2025</t>
  </si>
  <si>
    <t xml:space="preserve">Fevereiro - 2025</t>
  </si>
  <si>
    <t xml:space="preserve">Março - 2025</t>
  </si>
  <si>
    <t xml:space="preserve">Previsto</t>
  </si>
  <si>
    <t xml:space="preserve">Realizado</t>
  </si>
  <si>
    <t xml:space="preserve">TOTAIS GERAIS (orçamento completo)</t>
  </si>
  <si>
    <t xml:space="preserve">GASTOS RECORRENTES</t>
  </si>
  <si>
    <t xml:space="preserve">Mesada + Ayla</t>
  </si>
  <si>
    <t xml:space="preserve">Pix</t>
  </si>
  <si>
    <t xml:space="preserve">Família</t>
  </si>
  <si>
    <t xml:space="preserve">Pagamento recorrente</t>
  </si>
  <si>
    <t xml:space="preserve">Faculdade Mari</t>
  </si>
  <si>
    <t xml:space="preserve">Boleto</t>
  </si>
  <si>
    <t xml:space="preserve">Terapia</t>
  </si>
  <si>
    <t xml:space="preserve">Pessoal</t>
  </si>
  <si>
    <t xml:space="preserve">Faxineira</t>
  </si>
  <si>
    <t xml:space="preserve">Moradia</t>
  </si>
  <si>
    <t xml:space="preserve">Vivo Celular</t>
  </si>
  <si>
    <t xml:space="preserve">Cartão de Crédito</t>
  </si>
  <si>
    <t xml:space="preserve">Gympass</t>
  </si>
  <si>
    <t xml:space="preserve">Saúde</t>
  </si>
  <si>
    <t xml:space="preserve">Cartão XP</t>
  </si>
  <si>
    <t xml:space="preserve">Cartão BTG</t>
  </si>
  <si>
    <t xml:space="preserve">Cartão AMEX</t>
  </si>
  <si>
    <t xml:space="preserve">Débito em conta</t>
  </si>
  <si>
    <t xml:space="preserve">Leo (Aulas natação)</t>
  </si>
  <si>
    <t xml:space="preserve">Contador</t>
  </si>
  <si>
    <t xml:space="preserve">Empresa Mimacher</t>
  </si>
  <si>
    <t xml:space="preserve">Guia ISS</t>
  </si>
  <si>
    <t xml:space="preserve">DARF</t>
  </si>
  <si>
    <t xml:space="preserve">Seguro de Vida</t>
  </si>
  <si>
    <t xml:space="preserve">Subtotal Gastos Recorrentes</t>
  </si>
  <si>
    <t xml:space="preserve">Nota: os totais gerais (linha 4) refletem o orçamento completo do casamento na planilha original, que inclui outras seções além de Gastos Recorrentes. O Subtotal acima soma apenas as linhas desta seção.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</si>
</sst>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&quot;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808080"/>
      </patternFill>
    </fill>
    <fill>
      <patternFill patternType="solid">
        <fgColor rgb="FFA4C2F4"/>
        <bgColor rgb="FFCCCCCC"/>
      </patternFill>
    </fill>
    <fill>
      <patternFill patternType="solid">
        <fgColor rgb="FFB6D7A8"/>
        <bgColor rgb="FFCCCCCC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A4C2F4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13" min="8" style="0" width="13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/>
      <c r="J2" s="2" t="s">
        <v>8</v>
      </c>
      <c r="K2" s="2"/>
      <c r="L2" s="2" t="s">
        <v>9</v>
      </c>
      <c r="M2" s="2"/>
    </row>
    <row r="3" customFormat="false" ht="15" hidden="false" customHeight="false" outlineLevel="0" collapsed="false">
      <c r="B3" s="2"/>
      <c r="C3" s="2"/>
      <c r="D3" s="2"/>
      <c r="E3" s="2"/>
      <c r="F3" s="2" t="n">
        <v>523833.2</v>
      </c>
      <c r="G3" s="2" t="n">
        <v>1037759.02</v>
      </c>
      <c r="H3" s="2" t="s">
        <v>10</v>
      </c>
      <c r="I3" s="2" t="s">
        <v>11</v>
      </c>
      <c r="J3" s="2" t="s">
        <v>10</v>
      </c>
      <c r="K3" s="2" t="s">
        <v>11</v>
      </c>
      <c r="L3" s="2" t="s">
        <v>10</v>
      </c>
      <c r="M3" s="2" t="s">
        <v>11</v>
      </c>
    </row>
    <row r="4" customFormat="false" ht="15" hidden="false" customHeight="false" outlineLevel="0" collapsed="false">
      <c r="B4" s="3" t="s">
        <v>12</v>
      </c>
      <c r="C4" s="4"/>
      <c r="D4" s="4"/>
      <c r="E4" s="4"/>
      <c r="F4" s="5" t="n">
        <v>523833.2</v>
      </c>
      <c r="G4" s="5" t="n">
        <v>1037759.02</v>
      </c>
      <c r="H4" s="5" t="n">
        <v>77119.75</v>
      </c>
      <c r="I4" s="5" t="n">
        <v>77119.75</v>
      </c>
      <c r="J4" s="5" t="n">
        <v>76365.81</v>
      </c>
      <c r="K4" s="5" t="n">
        <v>76365.81</v>
      </c>
      <c r="L4" s="5" t="n">
        <v>121337.68</v>
      </c>
      <c r="M4" s="5" t="n">
        <v>121337.68</v>
      </c>
    </row>
    <row r="5" customFormat="false" ht="15" hidden="false" customHeight="false" outlineLevel="0" collapsed="false">
      <c r="B5" s="6" t="s">
        <v>13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false" outlineLevel="0" collapsed="false">
      <c r="B6" s="7" t="s">
        <v>14</v>
      </c>
      <c r="C6" s="8" t="s">
        <v>15</v>
      </c>
      <c r="D6" s="8" t="s">
        <v>16</v>
      </c>
      <c r="E6" s="8" t="s">
        <v>17</v>
      </c>
      <c r="F6" s="9" t="n">
        <v>5400</v>
      </c>
      <c r="G6" s="9" t="n">
        <v>5520</v>
      </c>
      <c r="H6" s="10" t="n">
        <v>540</v>
      </c>
      <c r="I6" s="10" t="n">
        <v>540</v>
      </c>
      <c r="J6" s="10" t="n">
        <v>540</v>
      </c>
      <c r="K6" s="10" t="n">
        <v>540</v>
      </c>
      <c r="L6" s="10" t="n">
        <v>540</v>
      </c>
      <c r="M6" s="10" t="n">
        <v>540</v>
      </c>
    </row>
    <row r="7" customFormat="false" ht="15" hidden="false" customHeight="false" outlineLevel="0" collapsed="false">
      <c r="B7" s="7" t="s">
        <v>18</v>
      </c>
      <c r="C7" s="8" t="s">
        <v>19</v>
      </c>
      <c r="D7" s="8" t="s">
        <v>16</v>
      </c>
      <c r="E7" s="8" t="s">
        <v>17</v>
      </c>
      <c r="F7" s="9" t="n">
        <v>48960</v>
      </c>
      <c r="G7" s="9" t="n">
        <v>61530</v>
      </c>
      <c r="H7" s="10" t="n">
        <v>5097.5</v>
      </c>
      <c r="I7" s="10" t="n">
        <v>5097.5</v>
      </c>
      <c r="J7" s="10" t="n">
        <v>5097.5</v>
      </c>
      <c r="K7" s="10" t="n">
        <v>5097.5</v>
      </c>
      <c r="L7" s="10" t="n">
        <v>5097.5</v>
      </c>
      <c r="M7" s="10" t="n">
        <v>5097.5</v>
      </c>
    </row>
    <row r="8" customFormat="false" ht="15" hidden="false" customHeight="false" outlineLevel="0" collapsed="false">
      <c r="B8" s="7" t="s">
        <v>20</v>
      </c>
      <c r="C8" s="8" t="s">
        <v>15</v>
      </c>
      <c r="D8" s="8" t="s">
        <v>21</v>
      </c>
      <c r="E8" s="8" t="s">
        <v>17</v>
      </c>
      <c r="F8" s="9" t="n">
        <v>24000</v>
      </c>
      <c r="G8" s="9" t="n">
        <v>15330</v>
      </c>
      <c r="H8" s="10" t="n">
        <v>1200</v>
      </c>
      <c r="I8" s="10" t="n">
        <v>1200</v>
      </c>
      <c r="J8" s="10" t="n">
        <v>3000</v>
      </c>
      <c r="K8" s="10" t="n">
        <v>3000</v>
      </c>
      <c r="L8" s="10" t="n">
        <v>600</v>
      </c>
      <c r="M8" s="10" t="n">
        <v>600</v>
      </c>
    </row>
    <row r="9" customFormat="false" ht="15" hidden="false" customHeight="false" outlineLevel="0" collapsed="false">
      <c r="B9" s="7" t="s">
        <v>22</v>
      </c>
      <c r="C9" s="8" t="s">
        <v>15</v>
      </c>
      <c r="D9" s="8" t="s">
        <v>23</v>
      </c>
      <c r="E9" s="8" t="s">
        <v>17</v>
      </c>
      <c r="F9" s="9" t="n">
        <v>10000</v>
      </c>
      <c r="G9" s="9" t="n">
        <v>21874.98</v>
      </c>
      <c r="H9" s="10" t="n">
        <v>1600</v>
      </c>
      <c r="I9" s="10" t="n">
        <v>1600</v>
      </c>
      <c r="J9" s="10" t="n">
        <v>1600</v>
      </c>
      <c r="K9" s="10" t="n">
        <v>1600</v>
      </c>
      <c r="L9" s="10" t="n">
        <v>1600</v>
      </c>
      <c r="M9" s="10" t="n">
        <v>1600</v>
      </c>
    </row>
    <row r="10" customFormat="false" ht="15" hidden="false" customHeight="false" outlineLevel="0" collapsed="false">
      <c r="B10" s="7" t="s">
        <v>24</v>
      </c>
      <c r="C10" s="8" t="s">
        <v>25</v>
      </c>
      <c r="D10" s="8" t="s">
        <v>21</v>
      </c>
      <c r="E10" s="8" t="s">
        <v>17</v>
      </c>
      <c r="F10" s="9" t="n">
        <v>2700</v>
      </c>
      <c r="G10" s="9" t="n">
        <v>4880.93</v>
      </c>
      <c r="H10" s="10" t="n">
        <v>340</v>
      </c>
      <c r="I10" s="10" t="n">
        <v>340</v>
      </c>
      <c r="J10" s="10" t="n">
        <v>340</v>
      </c>
      <c r="K10" s="10" t="n">
        <v>340</v>
      </c>
      <c r="L10" s="10" t="n">
        <v>340</v>
      </c>
      <c r="M10" s="10" t="n">
        <v>340</v>
      </c>
    </row>
    <row r="11" customFormat="false" ht="15" hidden="false" customHeight="false" outlineLevel="0" collapsed="false">
      <c r="B11" s="7" t="s">
        <v>26</v>
      </c>
      <c r="C11" s="8" t="s">
        <v>25</v>
      </c>
      <c r="D11" s="8" t="s">
        <v>27</v>
      </c>
      <c r="E11" s="8" t="s">
        <v>17</v>
      </c>
      <c r="F11" s="9" t="n">
        <v>1500</v>
      </c>
      <c r="G11" s="9" t="n">
        <v>16500</v>
      </c>
      <c r="H11" s="10" t="n">
        <v>1500</v>
      </c>
      <c r="I11" s="10" t="n">
        <v>1500</v>
      </c>
      <c r="J11" s="10" t="n">
        <v>1500</v>
      </c>
      <c r="K11" s="10" t="n">
        <v>1500</v>
      </c>
      <c r="L11" s="10" t="n">
        <v>1500</v>
      </c>
      <c r="M11" s="10" t="n">
        <v>1500</v>
      </c>
    </row>
    <row r="12" customFormat="false" ht="15" hidden="false" customHeight="false" outlineLevel="0" collapsed="false">
      <c r="B12" s="7" t="s">
        <v>28</v>
      </c>
      <c r="C12" s="8" t="s">
        <v>19</v>
      </c>
      <c r="D12" s="8" t="s">
        <v>21</v>
      </c>
      <c r="E12" s="8" t="s">
        <v>17</v>
      </c>
      <c r="F12" s="9" t="n">
        <v>40000</v>
      </c>
      <c r="G12" s="9" t="n">
        <v>10522.95</v>
      </c>
      <c r="H12" s="10" t="n">
        <v>3445.36</v>
      </c>
      <c r="I12" s="10" t="n">
        <v>3445.36</v>
      </c>
      <c r="J12" s="10" t="n">
        <v>3445.36</v>
      </c>
      <c r="K12" s="10" t="n">
        <v>3445.36</v>
      </c>
      <c r="L12" s="10" t="n">
        <v>3445.36</v>
      </c>
      <c r="M12" s="10" t="n">
        <v>3445.36</v>
      </c>
    </row>
    <row r="13" customFormat="false" ht="15" hidden="false" customHeight="false" outlineLevel="0" collapsed="false">
      <c r="B13" s="7" t="s">
        <v>29</v>
      </c>
      <c r="C13" s="8" t="s">
        <v>19</v>
      </c>
      <c r="D13" s="8" t="s">
        <v>21</v>
      </c>
      <c r="E13" s="8" t="s">
        <v>17</v>
      </c>
      <c r="F13" s="9" t="n">
        <v>100000</v>
      </c>
      <c r="G13" s="9" t="n">
        <v>547244.26</v>
      </c>
      <c r="H13" s="10" t="n">
        <v>26305.84</v>
      </c>
      <c r="I13" s="10" t="n">
        <v>26305.84</v>
      </c>
      <c r="J13" s="10" t="n">
        <v>23993.8</v>
      </c>
      <c r="K13" s="10" t="n">
        <v>23993.8</v>
      </c>
      <c r="L13" s="10" t="n">
        <v>20062.78</v>
      </c>
      <c r="M13" s="10" t="n">
        <v>20062.78</v>
      </c>
    </row>
    <row r="14" customFormat="false" ht="15" hidden="false" customHeight="false" outlineLevel="0" collapsed="false">
      <c r="B14" s="7" t="s">
        <v>30</v>
      </c>
      <c r="C14" s="8" t="s">
        <v>31</v>
      </c>
      <c r="D14" s="8" t="s">
        <v>21</v>
      </c>
      <c r="E14" s="8" t="s">
        <v>17</v>
      </c>
      <c r="F14" s="9" t="n">
        <v>100000</v>
      </c>
      <c r="G14" s="9" t="n">
        <v>270676.41</v>
      </c>
      <c r="H14" s="10" t="n">
        <v>31217.8</v>
      </c>
      <c r="I14" s="10" t="n">
        <v>31217.8</v>
      </c>
      <c r="J14" s="10" t="n">
        <v>31296.2</v>
      </c>
      <c r="K14" s="10" t="n">
        <v>31296.2</v>
      </c>
      <c r="L14" s="10" t="n">
        <v>81928.33</v>
      </c>
      <c r="M14" s="10" t="n">
        <v>81928.33</v>
      </c>
    </row>
    <row r="15" customFormat="false" ht="15" hidden="false" customHeight="false" outlineLevel="0" collapsed="false">
      <c r="B15" s="7" t="s">
        <v>32</v>
      </c>
      <c r="C15" s="8" t="s">
        <v>15</v>
      </c>
      <c r="D15" s="8" t="s">
        <v>27</v>
      </c>
      <c r="E15" s="8" t="s">
        <v>17</v>
      </c>
      <c r="F15" s="9" t="n">
        <v>100000</v>
      </c>
      <c r="G15" s="9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</row>
    <row r="16" customFormat="false" ht="15" hidden="false" customHeight="false" outlineLevel="0" collapsed="false">
      <c r="B16" s="7" t="s">
        <v>33</v>
      </c>
      <c r="C16" s="8" t="s">
        <v>19</v>
      </c>
      <c r="D16" s="8" t="s">
        <v>34</v>
      </c>
      <c r="E16" s="8" t="s">
        <v>17</v>
      </c>
      <c r="F16" s="9" t="n">
        <v>2180</v>
      </c>
      <c r="G16" s="9" t="n">
        <v>2640</v>
      </c>
      <c r="H16" s="10" t="n">
        <v>218</v>
      </c>
      <c r="I16" s="10" t="n">
        <v>218</v>
      </c>
      <c r="J16" s="10" t="n">
        <v>218</v>
      </c>
      <c r="K16" s="10" t="n">
        <v>218</v>
      </c>
      <c r="L16" s="10" t="n">
        <v>218</v>
      </c>
      <c r="M16" s="10" t="n">
        <v>218</v>
      </c>
    </row>
    <row r="17" customFormat="false" ht="15" hidden="false" customHeight="false" outlineLevel="0" collapsed="false">
      <c r="B17" s="7" t="s">
        <v>35</v>
      </c>
      <c r="C17" s="8" t="s">
        <v>19</v>
      </c>
      <c r="D17" s="8" t="s">
        <v>34</v>
      </c>
      <c r="E17" s="8" t="s">
        <v>17</v>
      </c>
      <c r="F17" s="9" t="n">
        <v>1553.2</v>
      </c>
      <c r="G17" s="9" t="n">
        <v>1883.96</v>
      </c>
      <c r="H17" s="10" t="n">
        <v>155</v>
      </c>
      <c r="I17" s="10" t="n">
        <v>155</v>
      </c>
      <c r="J17" s="10" t="n">
        <v>155</v>
      </c>
      <c r="K17" s="10" t="n">
        <v>155</v>
      </c>
      <c r="L17" s="10" t="n">
        <v>155</v>
      </c>
      <c r="M17" s="10" t="n">
        <v>155</v>
      </c>
    </row>
    <row r="18" customFormat="false" ht="15" hidden="false" customHeight="false" outlineLevel="0" collapsed="false">
      <c r="B18" s="7" t="s">
        <v>36</v>
      </c>
      <c r="C18" s="8" t="s">
        <v>19</v>
      </c>
      <c r="D18" s="8" t="s">
        <v>34</v>
      </c>
      <c r="E18" s="8" t="s">
        <v>17</v>
      </c>
      <c r="F18" s="9" t="n">
        <v>39020</v>
      </c>
      <c r="G18" s="9" t="n">
        <v>62381.92</v>
      </c>
      <c r="H18" s="10" t="n">
        <v>3902</v>
      </c>
      <c r="I18" s="10" t="n">
        <v>3902</v>
      </c>
      <c r="J18" s="10" t="n">
        <v>3902</v>
      </c>
      <c r="K18" s="10" t="n">
        <v>3902</v>
      </c>
      <c r="L18" s="10" t="n">
        <v>3902</v>
      </c>
      <c r="M18" s="10" t="n">
        <v>3902</v>
      </c>
    </row>
    <row r="19" customFormat="false" ht="15" hidden="false" customHeight="false" outlineLevel="0" collapsed="false">
      <c r="B19" s="7" t="s">
        <v>37</v>
      </c>
      <c r="C19" s="8" t="s">
        <v>25</v>
      </c>
      <c r="D19" s="8" t="s">
        <v>34</v>
      </c>
      <c r="E19" s="8" t="s">
        <v>17</v>
      </c>
      <c r="F19" s="9" t="n">
        <v>39020</v>
      </c>
      <c r="G19" s="9" t="n">
        <v>8844</v>
      </c>
      <c r="H19" s="10" t="n">
        <v>737</v>
      </c>
      <c r="I19" s="10" t="n">
        <v>737</v>
      </c>
      <c r="J19" s="10" t="n">
        <v>737</v>
      </c>
      <c r="K19" s="10" t="n">
        <v>737</v>
      </c>
      <c r="L19" s="10" t="n">
        <v>737</v>
      </c>
      <c r="M19" s="10" t="n">
        <v>737</v>
      </c>
    </row>
    <row r="20" customFormat="false" ht="15" hidden="false" customHeight="false" outlineLevel="0" collapsed="false">
      <c r="B20" s="6" t="s">
        <v>38</v>
      </c>
      <c r="C20" s="6"/>
      <c r="D20" s="6"/>
      <c r="E20" s="6"/>
      <c r="F20" s="11" t="n">
        <f aca="false">SUM(F6:F19)</f>
        <v>514333.2</v>
      </c>
      <c r="G20" s="11" t="n">
        <f aca="false">SUM(G6:G19)</f>
        <v>1029829.41</v>
      </c>
      <c r="H20" s="11" t="n">
        <f aca="false">SUM(H6:H19)</f>
        <v>76258.5</v>
      </c>
      <c r="I20" s="11" t="n">
        <f aca="false">SUM(I6:I19)</f>
        <v>76258.5</v>
      </c>
      <c r="J20" s="11" t="n">
        <f aca="false">SUM(J6:J19)</f>
        <v>75824.86</v>
      </c>
      <c r="K20" s="11" t="n">
        <f aca="false">SUM(K6:K19)</f>
        <v>75824.86</v>
      </c>
      <c r="L20" s="11" t="n">
        <f aca="false">SUM(L6:L19)</f>
        <v>120125.97</v>
      </c>
      <c r="M20" s="11" t="n">
        <f aca="false">SUM(M6:M19)</f>
        <v>120125.97</v>
      </c>
    </row>
    <row r="22" customFormat="false" ht="30" hidden="false" customHeight="true" outlineLevel="0" collapsed="false">
      <c r="B22" s="12" t="s">
        <v>39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mergeCells count="7">
    <mergeCell ref="B1:M1"/>
    <mergeCell ref="H2:I2"/>
    <mergeCell ref="J2:K2"/>
    <mergeCell ref="L2:M2"/>
    <mergeCell ref="B5:M5"/>
    <mergeCell ref="B20:E20"/>
    <mergeCell ref="B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2026-08-05T18:52:14Z</dcterms:created>
  <dc:creator>openpyxl</dc:creator>
  <dc:description/>
  <dc:language>en-US</dc:language>
  <cp:lastModifiedBy/>
  <dcterms:modified xsi:type="dcterms:W3CDTF">2026-08-05T18:52:14Z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