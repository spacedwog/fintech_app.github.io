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camento" sheetId="1" state="visible" r:id="rId3"/>
    <sheet name="MP_Transacoes" sheetId="2" state="visible" r:id="rId4"/>
    <sheet name="Mapeamento" sheetId="3" state="visible" r:id="rId5"/>
    <sheet name="Resumo_M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<sst xmlns="http://schemas.openxmlformats.org/spreadsheetml/2006/main" count="169" uniqueCount="72">
  <si>
    <t xml:space="preserve">CASAMENTO DO ANO</t>
  </si>
  <si>
    <t xml:space="preserve">Descrição dos Gastos</t>
  </si>
  <si>
    <t xml:space="preserve">Forma Pagamento</t>
  </si>
  <si>
    <t xml:space="preserve">Categoria</t>
  </si>
  <si>
    <t xml:space="preserve">Status</t>
  </si>
  <si>
    <t xml:space="preserve">VALOR TOTAL ANO</t>
  </si>
  <si>
    <t xml:space="preserve">TOTAL PAGO</t>
  </si>
  <si>
    <t xml:space="preserve">Janeiro - 2025</t>
  </si>
  <si>
    <t xml:space="preserve">Fevereiro - 2025</t>
  </si>
  <si>
    <t xml:space="preserve">Março - 2025</t>
  </si>
  <si>
    <t xml:space="preserve">Status Janeiro</t>
  </si>
  <si>
    <t xml:space="preserve">Status Fevereiro</t>
  </si>
  <si>
    <t xml:space="preserve">Status Março</t>
  </si>
  <si>
    <t xml:space="preserve">Previsto</t>
  </si>
  <si>
    <t xml:space="preserve">Realizado</t>
  </si>
  <si>
    <t xml:space="preserve">GASTOS RECORRENTES</t>
  </si>
  <si>
    <t xml:space="preserve">Mesada + Ayla</t>
  </si>
  <si>
    <t xml:space="preserve">Pix</t>
  </si>
  <si>
    <t xml:space="preserve">Família</t>
  </si>
  <si>
    <t xml:space="preserve">Pagamento recorrente</t>
  </si>
  <si>
    <t xml:space="preserve">Faculdade Mari</t>
  </si>
  <si>
    <t xml:space="preserve">Boleto</t>
  </si>
  <si>
    <t xml:space="preserve">Terapia</t>
  </si>
  <si>
    <t xml:space="preserve">Pessoal</t>
  </si>
  <si>
    <t xml:space="preserve">Faxineira</t>
  </si>
  <si>
    <t xml:space="preserve">Moradia</t>
  </si>
  <si>
    <t xml:space="preserve">Vivo Celular</t>
  </si>
  <si>
    <t xml:space="preserve">Cartão de Crédito</t>
  </si>
  <si>
    <t xml:space="preserve">Gympass</t>
  </si>
  <si>
    <t xml:space="preserve">Saúde</t>
  </si>
  <si>
    <t xml:space="preserve">Cartão XP</t>
  </si>
  <si>
    <t xml:space="preserve">Cartão BTG</t>
  </si>
  <si>
    <t xml:space="preserve">Cartão AMEX</t>
  </si>
  <si>
    <t xml:space="preserve">Débito em conta</t>
  </si>
  <si>
    <t xml:space="preserve">Leo (Aulas natação)</t>
  </si>
  <si>
    <t xml:space="preserve">Contador</t>
  </si>
  <si>
    <t xml:space="preserve">Empresa Mimacher</t>
  </si>
  <si>
    <t xml:space="preserve">Guia ISS</t>
  </si>
  <si>
    <t xml:space="preserve">DARF</t>
  </si>
  <si>
    <t xml:space="preserve">Seguro de Vida</t>
  </si>
  <si>
    <t xml:space="preserve">TOTAL GERAL</t>
  </si>
  <si>
    <t xml:space="preserve">ID Pagamento MP</t>
  </si>
  <si>
    <t xml:space="preserve">Data</t>
  </si>
  <si>
    <t xml:space="preserve">Descrição</t>
  </si>
  <si>
    <t xml:space="preserve">Categoria (mapeada)</t>
  </si>
  <si>
    <t xml:space="preserve">Valor (R$)</t>
  </si>
  <si>
    <t xml:space="preserve">Status MP</t>
  </si>
  <si>
    <t xml:space="preserve">Mês Referência</t>
  </si>
  <si>
    <t xml:space="preserve">(vazio até rodar mp_sync.py)</t>
  </si>
  <si>
    <t xml:space="preserve">Legenda: edite a coluna 'Palavra-chave' para casar com a descrição do pagamento no Mercado Pago.</t>
  </si>
  <si>
    <t xml:space="preserve">Palavra-chave (contém, sem acento, minúsculo)</t>
  </si>
  <si>
    <t xml:space="preserve">Descrição dos Gastos (opcional)</t>
  </si>
  <si>
    <t xml:space="preserve">mesada</t>
  </si>
  <si>
    <t xml:space="preserve">faculdade</t>
  </si>
  <si>
    <t xml:space="preserve">terapia</t>
  </si>
  <si>
    <t xml:space="preserve">faxineira</t>
  </si>
  <si>
    <t xml:space="preserve">vivo</t>
  </si>
  <si>
    <t xml:space="preserve">gympass</t>
  </si>
  <si>
    <t xml:space="preserve">cartao xp</t>
  </si>
  <si>
    <t xml:space="preserve">cartao btg</t>
  </si>
  <si>
    <t xml:space="preserve">amex</t>
  </si>
  <si>
    <t xml:space="preserve">natacao</t>
  </si>
  <si>
    <t xml:space="preserve">contador</t>
  </si>
  <si>
    <t xml:space="preserve">iss</t>
  </si>
  <si>
    <t xml:space="preserve">darf</t>
  </si>
  <si>
    <t xml:space="preserve">seguro de vida</t>
  </si>
  <si>
    <t xml:space="preserve">RESUMO: Orçamento (Previsto) x Gasto real no Mercado Pago</t>
  </si>
  <si>
    <t xml:space="preserve">Mês</t>
  </si>
  <si>
    <t xml:space="preserve">Previsto (soma)</t>
  </si>
  <si>
    <t xml:space="preserve">Gasto Mercado Pago</t>
  </si>
  <si>
    <t xml:space="preserve">Saldo</t>
  </si>
  <si>
    <t xml:space="preserve">Nota: 'Gasto Mercado Pago' vem da aba MP_Transacoes, preenchida pelo mp_sync.py. Rode o sync antes de conferir este resumo.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</si>
</sst>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&quot;#,##0.00;[RED]&quot;-R$&quot;#,##0.00"/>
    <numFmt numFmtId="166" formatCode="&quot;R$&quot;#,##0.00;[RED]&quot;-R$&quot;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4472C4"/>
      </patternFill>
    </fill>
    <fill>
      <patternFill patternType="solid">
        <fgColor rgb="FF4472C4"/>
        <bgColor rgb="FF666699"/>
      </patternFill>
    </fill>
    <fill>
      <patternFill patternType="solid">
        <fgColor rgb="FFA9D08E"/>
        <bgColor rgb="FFC6E0B4"/>
      </patternFill>
    </fill>
    <fill>
      <patternFill patternType="solid">
        <fgColor rgb="FFBDD7EE"/>
        <bgColor rgb="FFC6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A9D08E"/>
      <rgbColor rgb="FFFF99CC"/>
      <rgbColor rgb="FFCC99FF"/>
      <rgbColor rgb="FFF8CBAD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H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4" min="3" style="1" width="16"/>
    <col collapsed="false" customWidth="true" hidden="false" outlineLevel="0" max="5" min="5" style="1" width="20"/>
    <col collapsed="false" customWidth="true" hidden="false" outlineLevel="0" max="7" min="6" style="1" width="15"/>
    <col collapsed="false" customWidth="true" hidden="false" outlineLevel="0" max="13" min="8" style="1" width="13"/>
    <col collapsed="false" customWidth="true" hidden="false" outlineLevel="0" max="16" min="14" style="1" width="14"/>
  </cols>
  <sheetData>
    <row r="1" customFormat="false" ht="17.25" hidden="false" customHeight="true" outlineLevel="0" collapsed="false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7.75" hidden="false" customHeight="true" outlineLevel="0" collapsed="false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/>
      <c r="J2" s="4" t="s">
        <v>8</v>
      </c>
      <c r="K2" s="4"/>
      <c r="L2" s="4" t="s">
        <v>9</v>
      </c>
      <c r="M2" s="4"/>
      <c r="N2" s="3" t="s">
        <v>10</v>
      </c>
      <c r="O2" s="3" t="s">
        <v>11</v>
      </c>
      <c r="P2" s="3" t="s">
        <v>12</v>
      </c>
    </row>
    <row r="3" customFormat="false" ht="18" hidden="false" customHeight="true" outlineLevel="0" collapsed="false">
      <c r="H3" s="5" t="s">
        <v>13</v>
      </c>
      <c r="I3" s="5" t="s">
        <v>14</v>
      </c>
      <c r="J3" s="5" t="s">
        <v>13</v>
      </c>
      <c r="K3" s="5" t="s">
        <v>14</v>
      </c>
      <c r="L3" s="5" t="s">
        <v>13</v>
      </c>
      <c r="M3" s="5" t="s">
        <v>14</v>
      </c>
      <c r="N3" s="3"/>
      <c r="O3" s="3"/>
      <c r="P3" s="3"/>
    </row>
    <row r="4" customFormat="false" ht="15" hidden="false" customHeight="true" outlineLevel="0" collapsed="false">
      <c r="B4" s="6" t="s">
        <v>15</v>
      </c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customFormat="false" ht="15" hidden="false" customHeight="true" outlineLevel="0" collapsed="false">
      <c r="B5" s="8" t="s">
        <v>16</v>
      </c>
      <c r="C5" s="8" t="s">
        <v>17</v>
      </c>
      <c r="D5" s="8" t="s">
        <v>18</v>
      </c>
      <c r="E5" s="8" t="s">
        <v>19</v>
      </c>
      <c r="F5" s="9" t="n">
        <v>5400</v>
      </c>
      <c r="G5" s="9" t="n">
        <v>5520</v>
      </c>
      <c r="H5" s="9" t="n">
        <v>540</v>
      </c>
      <c r="I5" s="9" t="n">
        <v>540</v>
      </c>
      <c r="J5" s="9" t="n">
        <v>540</v>
      </c>
      <c r="K5" s="9" t="n">
        <v>540</v>
      </c>
      <c r="L5" s="9" t="n">
        <v>540</v>
      </c>
      <c r="M5" s="9" t="n">
        <v>540</v>
      </c>
      <c r="N5" s="10" t="str">
        <f aca="false">IF(I5&gt;H5,"ESTOURADO",IF(I5=0,"-","OK"))</f>
        <v>OK</v>
      </c>
      <c r="O5" s="10" t="str">
        <f aca="false">IF(K5&gt;J5,"ESTOURADO",IF(K5=0,"-","OK"))</f>
        <v>OK</v>
      </c>
      <c r="P5" s="10" t="str">
        <f aca="false">IF(M5&gt;L5,"ESTOURADO",IF(M5=0,"-","OK"))</f>
        <v>OK</v>
      </c>
    </row>
    <row r="6" customFormat="false" ht="15" hidden="false" customHeight="true" outlineLevel="0" collapsed="false">
      <c r="B6" s="8" t="s">
        <v>20</v>
      </c>
      <c r="C6" s="8" t="s">
        <v>21</v>
      </c>
      <c r="D6" s="8" t="s">
        <v>18</v>
      </c>
      <c r="E6" s="8" t="s">
        <v>19</v>
      </c>
      <c r="F6" s="9" t="n">
        <v>48960</v>
      </c>
      <c r="G6" s="9" t="n">
        <v>61530</v>
      </c>
      <c r="H6" s="9" t="n">
        <v>5097.5</v>
      </c>
      <c r="I6" s="9" t="n">
        <v>5097.5</v>
      </c>
      <c r="J6" s="9" t="n">
        <v>5097.5</v>
      </c>
      <c r="K6" s="9" t="n">
        <v>5097.5</v>
      </c>
      <c r="L6" s="9" t="n">
        <v>5097.5</v>
      </c>
      <c r="M6" s="9" t="n">
        <v>5097.5</v>
      </c>
      <c r="N6" s="10" t="str">
        <f aca="false">IF(I6&gt;H6,"ESTOURADO",IF(I6=0,"-","OK"))</f>
        <v>OK</v>
      </c>
      <c r="O6" s="10" t="str">
        <f aca="false">IF(K6&gt;J6,"ESTOURADO",IF(K6=0,"-","OK"))</f>
        <v>OK</v>
      </c>
      <c r="P6" s="10" t="str">
        <f aca="false">IF(M6&gt;L6,"ESTOURADO",IF(M6=0,"-","OK"))</f>
        <v>OK</v>
      </c>
    </row>
    <row r="7" customFormat="false" ht="15" hidden="false" customHeight="true" outlineLevel="0" collapsed="false">
      <c r="B7" s="8" t="s">
        <v>22</v>
      </c>
      <c r="C7" s="8" t="s">
        <v>17</v>
      </c>
      <c r="D7" s="8" t="s">
        <v>23</v>
      </c>
      <c r="E7" s="8" t="s">
        <v>19</v>
      </c>
      <c r="F7" s="9" t="n">
        <v>24000</v>
      </c>
      <c r="G7" s="9" t="n">
        <v>15130</v>
      </c>
      <c r="H7" s="9" t="n">
        <v>1200</v>
      </c>
      <c r="I7" s="9" t="n">
        <v>1200</v>
      </c>
      <c r="J7" s="9" t="n">
        <v>3000</v>
      </c>
      <c r="K7" s="9" t="n">
        <v>3000</v>
      </c>
      <c r="L7" s="9" t="n">
        <v>600</v>
      </c>
      <c r="M7" s="9" t="n">
        <v>600</v>
      </c>
      <c r="N7" s="10" t="str">
        <f aca="false">IF(I7&gt;H7,"ESTOURADO",IF(I7=0,"-","OK"))</f>
        <v>OK</v>
      </c>
      <c r="O7" s="10" t="str">
        <f aca="false">IF(K7&gt;J7,"ESTOURADO",IF(K7=0,"-","OK"))</f>
        <v>OK</v>
      </c>
      <c r="P7" s="10" t="str">
        <f aca="false">IF(M7&gt;L7,"ESTOURADO",IF(M7=0,"-","OK"))</f>
        <v>OK</v>
      </c>
    </row>
    <row r="8" customFormat="false" ht="15" hidden="false" customHeight="true" outlineLevel="0" collapsed="false">
      <c r="B8" s="8" t="s">
        <v>24</v>
      </c>
      <c r="C8" s="8" t="s">
        <v>17</v>
      </c>
      <c r="D8" s="8" t="s">
        <v>25</v>
      </c>
      <c r="E8" s="8" t="s">
        <v>19</v>
      </c>
      <c r="F8" s="9" t="n">
        <v>10000</v>
      </c>
      <c r="G8" s="9" t="n">
        <v>21874.98</v>
      </c>
      <c r="H8" s="9" t="n">
        <v>1600</v>
      </c>
      <c r="I8" s="9" t="n">
        <v>1600</v>
      </c>
      <c r="J8" s="9" t="n">
        <v>1600</v>
      </c>
      <c r="K8" s="9" t="n">
        <v>1600</v>
      </c>
      <c r="L8" s="9" t="n">
        <v>1600</v>
      </c>
      <c r="M8" s="9" t="n">
        <v>1600</v>
      </c>
      <c r="N8" s="10" t="str">
        <f aca="false">IF(I8&gt;H8,"ESTOURADO",IF(I8=0,"-","OK"))</f>
        <v>OK</v>
      </c>
      <c r="O8" s="10" t="str">
        <f aca="false">IF(K8&gt;J8,"ESTOURADO",IF(K8=0,"-","OK"))</f>
        <v>OK</v>
      </c>
      <c r="P8" s="10" t="str">
        <f aca="false">IF(M8&gt;L8,"ESTOURADO",IF(M8=0,"-","OK"))</f>
        <v>OK</v>
      </c>
    </row>
    <row r="9" customFormat="false" ht="15" hidden="false" customHeight="true" outlineLevel="0" collapsed="false">
      <c r="B9" s="8" t="s">
        <v>26</v>
      </c>
      <c r="C9" s="8" t="s">
        <v>27</v>
      </c>
      <c r="D9" s="8" t="s">
        <v>23</v>
      </c>
      <c r="E9" s="8" t="s">
        <v>19</v>
      </c>
      <c r="F9" s="9" t="n">
        <v>2700</v>
      </c>
      <c r="G9" s="9" t="n">
        <v>4880.93</v>
      </c>
      <c r="H9" s="9" t="n">
        <v>340</v>
      </c>
      <c r="I9" s="9" t="n">
        <v>340</v>
      </c>
      <c r="J9" s="9" t="n">
        <v>340</v>
      </c>
      <c r="K9" s="9" t="n">
        <v>340</v>
      </c>
      <c r="L9" s="9" t="n">
        <v>340</v>
      </c>
      <c r="M9" s="9" t="n">
        <v>340</v>
      </c>
      <c r="N9" s="10" t="str">
        <f aca="false">IF(I9&gt;H9,"ESTOURADO",IF(I9=0,"-","OK"))</f>
        <v>OK</v>
      </c>
      <c r="O9" s="10" t="str">
        <f aca="false">IF(K9&gt;J9,"ESTOURADO",IF(K9=0,"-","OK"))</f>
        <v>OK</v>
      </c>
      <c r="P9" s="10" t="str">
        <f aca="false">IF(M9&gt;L9,"ESTOURADO",IF(M9=0,"-","OK"))</f>
        <v>OK</v>
      </c>
    </row>
    <row r="10" customFormat="false" ht="15" hidden="false" customHeight="true" outlineLevel="0" collapsed="false">
      <c r="B10" s="8" t="s">
        <v>28</v>
      </c>
      <c r="C10" s="8" t="s">
        <v>27</v>
      </c>
      <c r="D10" s="8" t="s">
        <v>29</v>
      </c>
      <c r="E10" s="8" t="s">
        <v>19</v>
      </c>
      <c r="F10" s="9" t="n">
        <v>1500</v>
      </c>
      <c r="G10" s="9" t="n">
        <v>16500</v>
      </c>
      <c r="H10" s="9" t="n">
        <v>1500</v>
      </c>
      <c r="I10" s="9" t="n">
        <v>1500</v>
      </c>
      <c r="J10" s="9" t="n">
        <v>1500</v>
      </c>
      <c r="K10" s="9" t="n">
        <v>1500</v>
      </c>
      <c r="L10" s="9" t="n">
        <v>1500</v>
      </c>
      <c r="M10" s="9" t="n">
        <v>1500</v>
      </c>
      <c r="N10" s="10" t="str">
        <f aca="false">IF(I10&gt;H10,"ESTOURADO",IF(I10=0,"-","OK"))</f>
        <v>OK</v>
      </c>
      <c r="O10" s="10" t="str">
        <f aca="false">IF(K10&gt;J10,"ESTOURADO",IF(K10=0,"-","OK"))</f>
        <v>OK</v>
      </c>
      <c r="P10" s="10" t="str">
        <f aca="false">IF(M10&gt;L10,"ESTOURADO",IF(M10=0,"-","OK"))</f>
        <v>OK</v>
      </c>
    </row>
    <row r="11" customFormat="false" ht="15" hidden="false" customHeight="true" outlineLevel="0" collapsed="false">
      <c r="B11" s="8" t="s">
        <v>30</v>
      </c>
      <c r="C11" s="8" t="s">
        <v>21</v>
      </c>
      <c r="D11" s="8" t="s">
        <v>23</v>
      </c>
      <c r="E11" s="8" t="s">
        <v>19</v>
      </c>
      <c r="F11" s="9" t="n">
        <v>40000</v>
      </c>
      <c r="G11" s="9" t="n">
        <v>10522.95</v>
      </c>
      <c r="H11" s="9" t="n">
        <v>3445.36</v>
      </c>
      <c r="I11" s="9" t="n">
        <v>3445.36</v>
      </c>
      <c r="J11" s="9" t="n">
        <v>3445.36</v>
      </c>
      <c r="K11" s="9" t="n">
        <v>3445.36</v>
      </c>
      <c r="L11" s="9" t="n">
        <v>3445.36</v>
      </c>
      <c r="M11" s="9" t="n">
        <v>3445.36</v>
      </c>
      <c r="N11" s="10" t="str">
        <f aca="false">IF(I11&gt;H11,"ESTOURADO",IF(I11=0,"-","OK"))</f>
        <v>OK</v>
      </c>
      <c r="O11" s="10" t="str">
        <f aca="false">IF(K11&gt;J11,"ESTOURADO",IF(K11=0,"-","OK"))</f>
        <v>OK</v>
      </c>
      <c r="P11" s="10" t="str">
        <f aca="false">IF(M11&gt;L11,"ESTOURADO",IF(M11=0,"-","OK"))</f>
        <v>OK</v>
      </c>
    </row>
    <row r="12" customFormat="false" ht="15" hidden="false" customHeight="true" outlineLevel="0" collapsed="false">
      <c r="B12" s="8" t="s">
        <v>31</v>
      </c>
      <c r="C12" s="8" t="s">
        <v>21</v>
      </c>
      <c r="D12" s="8" t="s">
        <v>23</v>
      </c>
      <c r="E12" s="8" t="s">
        <v>19</v>
      </c>
      <c r="F12" s="9" t="n">
        <v>100000</v>
      </c>
      <c r="G12" s="9" t="n">
        <v>547244.26</v>
      </c>
      <c r="H12" s="9" t="n">
        <v>26305.84</v>
      </c>
      <c r="I12" s="9" t="n">
        <v>26305.84</v>
      </c>
      <c r="J12" s="9" t="n">
        <v>23993.8</v>
      </c>
      <c r="K12" s="9" t="n">
        <v>23993.8</v>
      </c>
      <c r="L12" s="9" t="n">
        <v>20062.78</v>
      </c>
      <c r="M12" s="9" t="n">
        <v>20062.78</v>
      </c>
      <c r="N12" s="10" t="str">
        <f aca="false">IF(I12&gt;H12,"ESTOURADO",IF(I12=0,"-","OK"))</f>
        <v>OK</v>
      </c>
      <c r="O12" s="10" t="str">
        <f aca="false">IF(K12&gt;J12,"ESTOURADO",IF(K12=0,"-","OK"))</f>
        <v>OK</v>
      </c>
      <c r="P12" s="10" t="str">
        <f aca="false">IF(M12&gt;L12,"ESTOURADO",IF(M12=0,"-","OK"))</f>
        <v>OK</v>
      </c>
    </row>
    <row r="13" customFormat="false" ht="15" hidden="false" customHeight="true" outlineLevel="0" collapsed="false">
      <c r="B13" s="8" t="s">
        <v>32</v>
      </c>
      <c r="C13" s="8" t="s">
        <v>33</v>
      </c>
      <c r="D13" s="8" t="s">
        <v>23</v>
      </c>
      <c r="E13" s="8" t="s">
        <v>19</v>
      </c>
      <c r="F13" s="9" t="n">
        <v>100000</v>
      </c>
      <c r="G13" s="9" t="n">
        <v>270676.41</v>
      </c>
      <c r="H13" s="9" t="n">
        <v>31217.8</v>
      </c>
      <c r="I13" s="9" t="n">
        <v>31217.8</v>
      </c>
      <c r="J13" s="9" t="n">
        <v>31296.2</v>
      </c>
      <c r="K13" s="9" t="n">
        <v>31296.2</v>
      </c>
      <c r="L13" s="9" t="n">
        <v>81928.33</v>
      </c>
      <c r="M13" s="9" t="n">
        <v>81928.33</v>
      </c>
      <c r="N13" s="10" t="str">
        <f aca="false">IF(I13&gt;H13,"ESTOURADO",IF(I13=0,"-","OK"))</f>
        <v>OK</v>
      </c>
      <c r="O13" s="10" t="str">
        <f aca="false">IF(K13&gt;J13,"ESTOURADO",IF(K13=0,"-","OK"))</f>
        <v>OK</v>
      </c>
      <c r="P13" s="10" t="str">
        <f aca="false">IF(M13&gt;L13,"ESTOURADO",IF(M13=0,"-","OK"))</f>
        <v>OK</v>
      </c>
    </row>
    <row r="14" customFormat="false" ht="15" hidden="false" customHeight="true" outlineLevel="0" collapsed="false">
      <c r="B14" s="8" t="s">
        <v>34</v>
      </c>
      <c r="C14" s="8" t="s">
        <v>17</v>
      </c>
      <c r="D14" s="8" t="s">
        <v>29</v>
      </c>
      <c r="E14" s="8" t="s">
        <v>19</v>
      </c>
      <c r="F14" s="9" t="n">
        <v>100000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N14" s="10" t="str">
        <f aca="false">IF(I14&gt;H14,"ESTOURADO",IF(I14=0,"-","OK"))</f>
        <v>-</v>
      </c>
      <c r="O14" s="10" t="str">
        <f aca="false">IF(K14&gt;J14,"ESTOURADO",IF(K14=0,"-","OK"))</f>
        <v>-</v>
      </c>
      <c r="P14" s="10" t="str">
        <f aca="false">IF(M14&gt;L14,"ESTOURADO",IF(M14=0,"-","OK"))</f>
        <v>-</v>
      </c>
    </row>
    <row r="15" customFormat="false" ht="15" hidden="false" customHeight="true" outlineLevel="0" collapsed="false">
      <c r="B15" s="8" t="s">
        <v>35</v>
      </c>
      <c r="C15" s="8" t="s">
        <v>21</v>
      </c>
      <c r="D15" s="8" t="s">
        <v>36</v>
      </c>
      <c r="E15" s="8" t="s">
        <v>19</v>
      </c>
      <c r="F15" s="9" t="n">
        <v>2180</v>
      </c>
      <c r="G15" s="9" t="n">
        <v>2640</v>
      </c>
      <c r="H15" s="9" t="n">
        <v>218</v>
      </c>
      <c r="I15" s="9" t="n">
        <v>218</v>
      </c>
      <c r="J15" s="9" t="n">
        <v>218</v>
      </c>
      <c r="K15" s="9" t="n">
        <v>218</v>
      </c>
      <c r="L15" s="9" t="n">
        <v>218</v>
      </c>
      <c r="M15" s="9" t="n">
        <v>218</v>
      </c>
      <c r="N15" s="10" t="str">
        <f aca="false">IF(I15&gt;H15,"ESTOURADO",IF(I15=0,"-","OK"))</f>
        <v>OK</v>
      </c>
      <c r="O15" s="10" t="str">
        <f aca="false">IF(K15&gt;J15,"ESTOURADO",IF(K15=0,"-","OK"))</f>
        <v>OK</v>
      </c>
      <c r="P15" s="10" t="str">
        <f aca="false">IF(M15&gt;L15,"ESTOURADO",IF(M15=0,"-","OK"))</f>
        <v>OK</v>
      </c>
    </row>
    <row r="16" customFormat="false" ht="15" hidden="false" customHeight="true" outlineLevel="0" collapsed="false">
      <c r="B16" s="8" t="s">
        <v>37</v>
      </c>
      <c r="C16" s="8" t="s">
        <v>21</v>
      </c>
      <c r="D16" s="8" t="s">
        <v>36</v>
      </c>
      <c r="E16" s="8" t="s">
        <v>19</v>
      </c>
      <c r="F16" s="9" t="n">
        <v>1553.2</v>
      </c>
      <c r="G16" s="9" t="n">
        <v>1883.96</v>
      </c>
      <c r="H16" s="9" t="n">
        <v>155</v>
      </c>
      <c r="I16" s="9" t="n">
        <v>155</v>
      </c>
      <c r="J16" s="9" t="n">
        <v>155</v>
      </c>
      <c r="K16" s="9" t="n">
        <v>155</v>
      </c>
      <c r="L16" s="9" t="n">
        <v>155</v>
      </c>
      <c r="M16" s="9" t="n">
        <v>155</v>
      </c>
      <c r="N16" s="10" t="str">
        <f aca="false">IF(I16&gt;H16,"ESTOURADO",IF(I16=0,"-","OK"))</f>
        <v>OK</v>
      </c>
      <c r="O16" s="10" t="str">
        <f aca="false">IF(K16&gt;J16,"ESTOURADO",IF(K16=0,"-","OK"))</f>
        <v>OK</v>
      </c>
      <c r="P16" s="10" t="str">
        <f aca="false">IF(M16&gt;L16,"ESTOURADO",IF(M16=0,"-","OK"))</f>
        <v>OK</v>
      </c>
    </row>
    <row r="17" customFormat="false" ht="15" hidden="false" customHeight="true" outlineLevel="0" collapsed="false">
      <c r="B17" s="8" t="s">
        <v>38</v>
      </c>
      <c r="C17" s="8" t="s">
        <v>21</v>
      </c>
      <c r="D17" s="8" t="s">
        <v>36</v>
      </c>
      <c r="E17" s="8" t="s">
        <v>19</v>
      </c>
      <c r="F17" s="9" t="n">
        <v>39020</v>
      </c>
      <c r="G17" s="9" t="n">
        <v>62381.92</v>
      </c>
      <c r="H17" s="9" t="n">
        <v>3902</v>
      </c>
      <c r="I17" s="9" t="n">
        <v>3902</v>
      </c>
      <c r="J17" s="9" t="n">
        <v>3902</v>
      </c>
      <c r="K17" s="9" t="n">
        <v>3902</v>
      </c>
      <c r="L17" s="9" t="n">
        <v>3902</v>
      </c>
      <c r="M17" s="9" t="n">
        <v>3902</v>
      </c>
      <c r="N17" s="10" t="str">
        <f aca="false">IF(I17&gt;H17,"ESTOURADO",IF(I17=0,"-","OK"))</f>
        <v>OK</v>
      </c>
      <c r="O17" s="10" t="str">
        <f aca="false">IF(K17&gt;J17,"ESTOURADO",IF(K17=0,"-","OK"))</f>
        <v>OK</v>
      </c>
      <c r="P17" s="10" t="str">
        <f aca="false">IF(M17&gt;L17,"ESTOURADO",IF(M17=0,"-","OK"))</f>
        <v>OK</v>
      </c>
    </row>
    <row r="18" customFormat="false" ht="15" hidden="false" customHeight="true" outlineLevel="0" collapsed="false">
      <c r="B18" s="8" t="s">
        <v>39</v>
      </c>
      <c r="C18" s="8" t="s">
        <v>27</v>
      </c>
      <c r="D18" s="8" t="s">
        <v>36</v>
      </c>
      <c r="E18" s="8" t="s">
        <v>19</v>
      </c>
      <c r="F18" s="9" t="n">
        <v>39020</v>
      </c>
      <c r="G18" s="9" t="n">
        <v>8844</v>
      </c>
      <c r="H18" s="9" t="n">
        <v>737</v>
      </c>
      <c r="I18" s="9" t="n">
        <v>737</v>
      </c>
      <c r="J18" s="9" t="n">
        <v>737</v>
      </c>
      <c r="K18" s="9" t="n">
        <v>737</v>
      </c>
      <c r="L18" s="9" t="n">
        <v>737</v>
      </c>
      <c r="M18" s="9" t="n">
        <v>737</v>
      </c>
      <c r="N18" s="10" t="str">
        <f aca="false">IF(I18&gt;H18,"ESTOURADO",IF(I18=0,"-","OK"))</f>
        <v>OK</v>
      </c>
      <c r="O18" s="10" t="str">
        <f aca="false">IF(K18&gt;J18,"ESTOURADO",IF(K18=0,"-","OK"))</f>
        <v>OK</v>
      </c>
      <c r="P18" s="10" t="str">
        <f aca="false">IF(M18&gt;L18,"ESTOURADO",IF(M18=0,"-","OK"))</f>
        <v>OK</v>
      </c>
    </row>
    <row r="20" customFormat="false" ht="15" hidden="false" customHeight="true" outlineLevel="0" collapsed="false">
      <c r="B20" s="11" t="s">
        <v>40</v>
      </c>
      <c r="H20" s="12" t="n">
        <f aca="false">SUM(H5:H18)</f>
        <v>76258.5</v>
      </c>
      <c r="I20" s="12" t="n">
        <f aca="false">SUM(I5:I18)</f>
        <v>76258.5</v>
      </c>
      <c r="J20" s="12" t="n">
        <f aca="false">SUM(J5:J18)</f>
        <v>75824.86</v>
      </c>
      <c r="K20" s="12" t="n">
        <f aca="false">SUM(K5:K18)</f>
        <v>75824.86</v>
      </c>
      <c r="L20" s="12" t="n">
        <f aca="false">SUM(L5:L18)</f>
        <v>120125.97</v>
      </c>
      <c r="M20" s="12" t="n">
        <f aca="false">SUM(M5:M18)</f>
        <v>120125.97</v>
      </c>
    </row>
  </sheetData>
  <mergeCells count="8">
    <mergeCell ref="B1:L1"/>
    <mergeCell ref="H2:I2"/>
    <mergeCell ref="J2:K2"/>
    <mergeCell ref="L2:M2"/>
    <mergeCell ref="N2:N3"/>
    <mergeCell ref="O2:O3"/>
    <mergeCell ref="P2:P3"/>
    <mergeCell ref="B4:D4"/>
  </mergeCells>
  <conditionalFormatting sqref="N5:N18">
    <cfRule type="cellIs" priority="2" operator="equal" aboveAverage="0" equalAverage="0" bottom="0" percent="0" rank="0" text="" dxfId="0">
      <formula>"ESTOURADO"</formula>
    </cfRule>
    <cfRule type="cellIs" priority="3" operator="equal" aboveAverage="0" equalAverage="0" bottom="0" percent="0" rank="0" text="" dxfId="1">
      <formula>"OK"</formula>
    </cfRule>
  </conditionalFormatting>
  <conditionalFormatting sqref="O5:O18">
    <cfRule type="cellIs" priority="4" operator="equal" aboveAverage="0" equalAverage="0" bottom="0" percent="0" rank="0" text="" dxfId="0">
      <formula>"ESTOURADO"</formula>
    </cfRule>
    <cfRule type="cellIs" priority="5" operator="equal" aboveAverage="0" equalAverage="0" bottom="0" percent="0" rank="0" text="" dxfId="1">
      <formula>"OK"</formula>
    </cfRule>
  </conditionalFormatting>
  <conditionalFormatting sqref="P5:P18">
    <cfRule type="cellIs" priority="6" operator="equal" aboveAverage="0" equalAverage="0" bottom="0" percent="0" rank="0" text="" dxfId="0">
      <formula>"ESTOURADO"</formula>
    </cfRule>
    <cfRule type="cellIs" priority="7" operator="equal" aboveAverage="0" equalAverage="0" bottom="0" percent="0" rank="0" text="" dxfId="1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20"/>
    <col collapsed="false" customWidth="true" hidden="false" outlineLevel="0" max="6" min="5" style="1" width="14"/>
    <col collapsed="false" customWidth="true" hidden="false" outlineLevel="0" max="7" min="7" style="1" width="16"/>
  </cols>
  <sheetData>
    <row r="1" customFormat="false" ht="26.25" hidden="false" customHeight="true" outlineLevel="0" collapsed="false">
      <c r="A1" s="13" t="s">
        <v>41</v>
      </c>
      <c r="B1" s="13" t="s">
        <v>42</v>
      </c>
      <c r="C1" s="13" t="s">
        <v>43</v>
      </c>
      <c r="D1" s="13" t="s">
        <v>44</v>
      </c>
      <c r="E1" s="13" t="s">
        <v>45</v>
      </c>
      <c r="F1" s="13" t="s">
        <v>46</v>
      </c>
      <c r="G1" s="13" t="s">
        <v>47</v>
      </c>
    </row>
    <row r="2" customFormat="false" ht="15" hidden="false" customHeight="true" outlineLevel="0" collapsed="false">
      <c r="A2" s="14" t="s">
        <v>48</v>
      </c>
      <c r="B2" s="14"/>
      <c r="C2" s="14"/>
      <c r="D2" s="14"/>
      <c r="E2" s="14"/>
      <c r="F2" s="14"/>
      <c r="G2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0"/>
    <col collapsed="false" customWidth="true" hidden="false" outlineLevel="0" max="3" min="3" style="1" width="28"/>
  </cols>
  <sheetData>
    <row r="1" customFormat="false" ht="15" hidden="false" customHeight="true" outlineLevel="0" collapsed="false">
      <c r="A1" s="15" t="s">
        <v>49</v>
      </c>
      <c r="B1" s="15"/>
      <c r="C1" s="15"/>
    </row>
    <row r="2" customFormat="false" ht="26.25" hidden="false" customHeight="true" outlineLevel="0" collapsed="false">
      <c r="A2" s="13" t="s">
        <v>50</v>
      </c>
      <c r="B2" s="13" t="s">
        <v>3</v>
      </c>
      <c r="C2" s="13" t="s">
        <v>51</v>
      </c>
    </row>
    <row r="3" customFormat="false" ht="15" hidden="false" customHeight="true" outlineLevel="0" collapsed="false">
      <c r="A3" s="16" t="s">
        <v>52</v>
      </c>
      <c r="B3" s="16" t="s">
        <v>18</v>
      </c>
      <c r="C3" s="16" t="s">
        <v>16</v>
      </c>
    </row>
    <row r="4" customFormat="false" ht="15" hidden="false" customHeight="true" outlineLevel="0" collapsed="false">
      <c r="A4" s="16" t="s">
        <v>53</v>
      </c>
      <c r="B4" s="16" t="s">
        <v>18</v>
      </c>
      <c r="C4" s="16" t="s">
        <v>20</v>
      </c>
    </row>
    <row r="5" customFormat="false" ht="15" hidden="false" customHeight="true" outlineLevel="0" collapsed="false">
      <c r="A5" s="16" t="s">
        <v>54</v>
      </c>
      <c r="B5" s="16" t="s">
        <v>23</v>
      </c>
      <c r="C5" s="16" t="s">
        <v>22</v>
      </c>
    </row>
    <row r="6" customFormat="false" ht="15" hidden="false" customHeight="true" outlineLevel="0" collapsed="false">
      <c r="A6" s="16" t="s">
        <v>55</v>
      </c>
      <c r="B6" s="16" t="s">
        <v>25</v>
      </c>
      <c r="C6" s="16" t="s">
        <v>24</v>
      </c>
    </row>
    <row r="7" customFormat="false" ht="15" hidden="false" customHeight="true" outlineLevel="0" collapsed="false">
      <c r="A7" s="16" t="s">
        <v>56</v>
      </c>
      <c r="B7" s="16" t="s">
        <v>23</v>
      </c>
      <c r="C7" s="16" t="s">
        <v>26</v>
      </c>
    </row>
    <row r="8" customFormat="false" ht="15" hidden="false" customHeight="true" outlineLevel="0" collapsed="false">
      <c r="A8" s="16" t="s">
        <v>57</v>
      </c>
      <c r="B8" s="16" t="s">
        <v>29</v>
      </c>
      <c r="C8" s="16" t="s">
        <v>28</v>
      </c>
    </row>
    <row r="9" customFormat="false" ht="15" hidden="false" customHeight="true" outlineLevel="0" collapsed="false">
      <c r="A9" s="16" t="s">
        <v>58</v>
      </c>
      <c r="B9" s="16" t="s">
        <v>23</v>
      </c>
      <c r="C9" s="16" t="s">
        <v>30</v>
      </c>
    </row>
    <row r="10" customFormat="false" ht="15" hidden="false" customHeight="true" outlineLevel="0" collapsed="false">
      <c r="A10" s="16" t="s">
        <v>59</v>
      </c>
      <c r="B10" s="16" t="s">
        <v>23</v>
      </c>
      <c r="C10" s="16" t="s">
        <v>31</v>
      </c>
    </row>
    <row r="11" customFormat="false" ht="15" hidden="false" customHeight="true" outlineLevel="0" collapsed="false">
      <c r="A11" s="16" t="s">
        <v>60</v>
      </c>
      <c r="B11" s="16" t="s">
        <v>23</v>
      </c>
      <c r="C11" s="16" t="s">
        <v>32</v>
      </c>
    </row>
    <row r="12" customFormat="false" ht="15" hidden="false" customHeight="true" outlineLevel="0" collapsed="false">
      <c r="A12" s="16" t="s">
        <v>61</v>
      </c>
      <c r="B12" s="16" t="s">
        <v>29</v>
      </c>
      <c r="C12" s="16" t="s">
        <v>34</v>
      </c>
    </row>
    <row r="13" customFormat="false" ht="15" hidden="false" customHeight="true" outlineLevel="0" collapsed="false">
      <c r="A13" s="16" t="s">
        <v>62</v>
      </c>
      <c r="B13" s="16" t="s">
        <v>36</v>
      </c>
      <c r="C13" s="16" t="s">
        <v>35</v>
      </c>
    </row>
    <row r="14" customFormat="false" ht="15" hidden="false" customHeight="true" outlineLevel="0" collapsed="false">
      <c r="A14" s="16" t="s">
        <v>63</v>
      </c>
      <c r="B14" s="16" t="s">
        <v>36</v>
      </c>
      <c r="C14" s="16" t="s">
        <v>37</v>
      </c>
    </row>
    <row r="15" customFormat="false" ht="15" hidden="false" customHeight="true" outlineLevel="0" collapsed="false">
      <c r="A15" s="16" t="s">
        <v>64</v>
      </c>
      <c r="B15" s="16" t="s">
        <v>36</v>
      </c>
      <c r="C15" s="16" t="s">
        <v>38</v>
      </c>
    </row>
    <row r="16" customFormat="false" ht="15" hidden="false" customHeight="true" outlineLevel="0" collapsed="false">
      <c r="A16" s="16" t="s">
        <v>65</v>
      </c>
      <c r="B16" s="16" t="s">
        <v>36</v>
      </c>
      <c r="C16" s="16" t="s">
        <v>39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0"/>
  </cols>
  <sheetData>
    <row r="1" customFormat="false" ht="16.15" hidden="false" customHeight="false" outlineLevel="0" collapsed="false">
      <c r="A1" s="17" t="s">
        <v>66</v>
      </c>
      <c r="B1" s="17"/>
      <c r="C1" s="17"/>
      <c r="D1" s="17"/>
      <c r="E1" s="17"/>
      <c r="F1" s="17"/>
    </row>
    <row r="2" customFormat="false" ht="26.85" hidden="false" customHeight="false" outlineLevel="0" collapsed="false">
      <c r="A2" s="18" t="s">
        <v>3</v>
      </c>
      <c r="B2" s="18" t="s">
        <v>67</v>
      </c>
      <c r="C2" s="18" t="s">
        <v>68</v>
      </c>
      <c r="D2" s="18" t="s">
        <v>69</v>
      </c>
      <c r="E2" s="18" t="s">
        <v>70</v>
      </c>
      <c r="F2" s="18" t="s">
        <v>4</v>
      </c>
    </row>
    <row r="3" customFormat="false" ht="15" hidden="false" customHeight="false" outlineLevel="0" collapsed="false">
      <c r="A3" s="19" t="s">
        <v>18</v>
      </c>
      <c r="B3" s="19" t="s">
        <v>7</v>
      </c>
      <c r="C3" s="20" t="n">
        <f aca="false">SUMIFS(Orcamento!H5:H18,Orcamento!D5:D18,A3)</f>
        <v>5637.5</v>
      </c>
      <c r="D3" s="20" t="n">
        <f aca="false">SUMIFS(MP_Transacoes!E:E,MP_Transacoes!D:D,A3,MP_Transacoes!G:G,"2025-01")</f>
        <v>0</v>
      </c>
      <c r="E3" s="20" t="n">
        <f aca="false">C3-D3</f>
        <v>5637.5</v>
      </c>
      <c r="F3" s="21" t="str">
        <f aca="false">IF(D3=0,"sem dados MP",IF(D3&gt;C3,"ESTOURADO","DENTRO DO ORÇAMENTO"))</f>
        <v>sem dados MP</v>
      </c>
    </row>
    <row r="4" customFormat="false" ht="15" hidden="false" customHeight="false" outlineLevel="0" collapsed="false">
      <c r="A4" s="19" t="s">
        <v>18</v>
      </c>
      <c r="B4" s="19" t="s">
        <v>8</v>
      </c>
      <c r="C4" s="20" t="n">
        <f aca="false">SUMIFS(Orcamento!J5:J18,Orcamento!D5:D18,A4)</f>
        <v>5637.5</v>
      </c>
      <c r="D4" s="20" t="n">
        <f aca="false">SUMIFS(MP_Transacoes!E:E,MP_Transacoes!D:D,A4,MP_Transacoes!G:G,"2025-02")</f>
        <v>0</v>
      </c>
      <c r="E4" s="20" t="n">
        <f aca="false">C4-D4</f>
        <v>5637.5</v>
      </c>
      <c r="F4" s="21" t="str">
        <f aca="false">IF(D4=0,"sem dados MP",IF(D4&gt;C4,"ESTOURADO","DENTRO DO ORÇAMENTO"))</f>
        <v>sem dados MP</v>
      </c>
    </row>
    <row r="5" customFormat="false" ht="15" hidden="false" customHeight="false" outlineLevel="0" collapsed="false">
      <c r="A5" s="19" t="s">
        <v>18</v>
      </c>
      <c r="B5" s="19" t="s">
        <v>9</v>
      </c>
      <c r="C5" s="20" t="n">
        <f aca="false">SUMIFS(Orcamento!L5:L18,Orcamento!D5:D18,A5)</f>
        <v>5637.5</v>
      </c>
      <c r="D5" s="20" t="n">
        <f aca="false">SUMIFS(MP_Transacoes!E:E,MP_Transacoes!D:D,A5,MP_Transacoes!G:G,"2025-03")</f>
        <v>0</v>
      </c>
      <c r="E5" s="20" t="n">
        <f aca="false">C5-D5</f>
        <v>5637.5</v>
      </c>
      <c r="F5" s="21" t="str">
        <f aca="false">IF(D5=0,"sem dados MP",IF(D5&gt;C5,"ESTOURADO","DENTRO DO ORÇAMENTO"))</f>
        <v>sem dados MP</v>
      </c>
    </row>
    <row r="6" customFormat="false" ht="15" hidden="false" customHeight="false" outlineLevel="0" collapsed="false">
      <c r="A6" s="19" t="s">
        <v>23</v>
      </c>
      <c r="B6" s="19" t="s">
        <v>7</v>
      </c>
      <c r="C6" s="20" t="n">
        <f aca="false">SUMIFS(Orcamento!H5:H18,Orcamento!D5:D18,A6)</f>
        <v>62509</v>
      </c>
      <c r="D6" s="20" t="n">
        <f aca="false">SUMIFS(MP_Transacoes!E:E,MP_Transacoes!D:D,A6,MP_Transacoes!G:G,"2025-01")</f>
        <v>0</v>
      </c>
      <c r="E6" s="20" t="n">
        <f aca="false">C6-D6</f>
        <v>62509</v>
      </c>
      <c r="F6" s="21" t="str">
        <f aca="false">IF(D6=0,"sem dados MP",IF(D6&gt;C6,"ESTOURADO","DENTRO DO ORÇAMENTO"))</f>
        <v>sem dados MP</v>
      </c>
    </row>
    <row r="7" customFormat="false" ht="15" hidden="false" customHeight="false" outlineLevel="0" collapsed="false">
      <c r="A7" s="19" t="s">
        <v>23</v>
      </c>
      <c r="B7" s="19" t="s">
        <v>8</v>
      </c>
      <c r="C7" s="20" t="n">
        <f aca="false">SUMIFS(Orcamento!J5:J18,Orcamento!D5:D18,A7)</f>
        <v>62075.36</v>
      </c>
      <c r="D7" s="20" t="n">
        <f aca="false">SUMIFS(MP_Transacoes!E:E,MP_Transacoes!D:D,A7,MP_Transacoes!G:G,"2025-02")</f>
        <v>0</v>
      </c>
      <c r="E7" s="20" t="n">
        <f aca="false">C7-D7</f>
        <v>62075.36</v>
      </c>
      <c r="F7" s="21" t="str">
        <f aca="false">IF(D7=0,"sem dados MP",IF(D7&gt;C7,"ESTOURADO","DENTRO DO ORÇAMENTO"))</f>
        <v>sem dados MP</v>
      </c>
    </row>
    <row r="8" customFormat="false" ht="15" hidden="false" customHeight="false" outlineLevel="0" collapsed="false">
      <c r="A8" s="19" t="s">
        <v>23</v>
      </c>
      <c r="B8" s="19" t="s">
        <v>9</v>
      </c>
      <c r="C8" s="20" t="n">
        <f aca="false">SUMIFS(Orcamento!L5:L18,Orcamento!D5:D18,A8)</f>
        <v>106376.47</v>
      </c>
      <c r="D8" s="20" t="n">
        <f aca="false">SUMIFS(MP_Transacoes!E:E,MP_Transacoes!D:D,A8,MP_Transacoes!G:G,"2025-03")</f>
        <v>0</v>
      </c>
      <c r="E8" s="20" t="n">
        <f aca="false">C8-D8</f>
        <v>106376.47</v>
      </c>
      <c r="F8" s="21" t="str">
        <f aca="false">IF(D8=0,"sem dados MP",IF(D8&gt;C8,"ESTOURADO","DENTRO DO ORÇAMENTO"))</f>
        <v>sem dados MP</v>
      </c>
    </row>
    <row r="9" customFormat="false" ht="15" hidden="false" customHeight="false" outlineLevel="0" collapsed="false">
      <c r="A9" s="19" t="s">
        <v>25</v>
      </c>
      <c r="B9" s="19" t="s">
        <v>7</v>
      </c>
      <c r="C9" s="20" t="n">
        <f aca="false">SUMIFS(Orcamento!H5:H18,Orcamento!D5:D18,A9)</f>
        <v>1600</v>
      </c>
      <c r="D9" s="20" t="n">
        <f aca="false">SUMIFS(MP_Transacoes!E:E,MP_Transacoes!D:D,A9,MP_Transacoes!G:G,"2025-01")</f>
        <v>0</v>
      </c>
      <c r="E9" s="20" t="n">
        <f aca="false">C9-D9</f>
        <v>1600</v>
      </c>
      <c r="F9" s="21" t="str">
        <f aca="false">IF(D9=0,"sem dados MP",IF(D9&gt;C9,"ESTOURADO","DENTRO DO ORÇAMENTO"))</f>
        <v>sem dados MP</v>
      </c>
    </row>
    <row r="10" customFormat="false" ht="15" hidden="false" customHeight="false" outlineLevel="0" collapsed="false">
      <c r="A10" s="19" t="s">
        <v>25</v>
      </c>
      <c r="B10" s="19" t="s">
        <v>8</v>
      </c>
      <c r="C10" s="20" t="n">
        <f aca="false">SUMIFS(Orcamento!J5:J18,Orcamento!D5:D18,A10)</f>
        <v>1600</v>
      </c>
      <c r="D10" s="20" t="n">
        <f aca="false">SUMIFS(MP_Transacoes!E:E,MP_Transacoes!D:D,A10,MP_Transacoes!G:G,"2025-02")</f>
        <v>0</v>
      </c>
      <c r="E10" s="20" t="n">
        <f aca="false">C10-D10</f>
        <v>1600</v>
      </c>
      <c r="F10" s="21" t="str">
        <f aca="false">IF(D10=0,"sem dados MP",IF(D10&gt;C10,"ESTOURADO","DENTRO DO ORÇAMENTO"))</f>
        <v>sem dados MP</v>
      </c>
    </row>
    <row r="11" customFormat="false" ht="15" hidden="false" customHeight="false" outlineLevel="0" collapsed="false">
      <c r="A11" s="19" t="s">
        <v>25</v>
      </c>
      <c r="B11" s="19" t="s">
        <v>9</v>
      </c>
      <c r="C11" s="20" t="n">
        <f aca="false">SUMIFS(Orcamento!L5:L18,Orcamento!D5:D18,A11)</f>
        <v>1600</v>
      </c>
      <c r="D11" s="20" t="n">
        <f aca="false">SUMIFS(MP_Transacoes!E:E,MP_Transacoes!D:D,A11,MP_Transacoes!G:G,"2025-03")</f>
        <v>0</v>
      </c>
      <c r="E11" s="20" t="n">
        <f aca="false">C11-D11</f>
        <v>1600</v>
      </c>
      <c r="F11" s="21" t="str">
        <f aca="false">IF(D11=0,"sem dados MP",IF(D11&gt;C11,"ESTOURADO","DENTRO DO ORÇAMENTO"))</f>
        <v>sem dados MP</v>
      </c>
    </row>
    <row r="12" customFormat="false" ht="15" hidden="false" customHeight="false" outlineLevel="0" collapsed="false">
      <c r="A12" s="19" t="s">
        <v>29</v>
      </c>
      <c r="B12" s="19" t="s">
        <v>7</v>
      </c>
      <c r="C12" s="20" t="n">
        <f aca="false">SUMIFS(Orcamento!H5:H18,Orcamento!D5:D18,A12)</f>
        <v>1500</v>
      </c>
      <c r="D12" s="20" t="n">
        <f aca="false">SUMIFS(MP_Transacoes!E:E,MP_Transacoes!D:D,A12,MP_Transacoes!G:G,"2025-01")</f>
        <v>0</v>
      </c>
      <c r="E12" s="20" t="n">
        <f aca="false">C12-D12</f>
        <v>1500</v>
      </c>
      <c r="F12" s="21" t="str">
        <f aca="false">IF(D12=0,"sem dados MP",IF(D12&gt;C12,"ESTOURADO","DENTRO DO ORÇAMENTO"))</f>
        <v>sem dados MP</v>
      </c>
    </row>
    <row r="13" customFormat="false" ht="15" hidden="false" customHeight="false" outlineLevel="0" collapsed="false">
      <c r="A13" s="19" t="s">
        <v>29</v>
      </c>
      <c r="B13" s="19" t="s">
        <v>8</v>
      </c>
      <c r="C13" s="20" t="n">
        <f aca="false">SUMIFS(Orcamento!J5:J18,Orcamento!D5:D18,A13)</f>
        <v>1500</v>
      </c>
      <c r="D13" s="20" t="n">
        <f aca="false">SUMIFS(MP_Transacoes!E:E,MP_Transacoes!D:D,A13,MP_Transacoes!G:G,"2025-02")</f>
        <v>0</v>
      </c>
      <c r="E13" s="20" t="n">
        <f aca="false">C13-D13</f>
        <v>1500</v>
      </c>
      <c r="F13" s="21" t="str">
        <f aca="false">IF(D13=0,"sem dados MP",IF(D13&gt;C13,"ESTOURADO","DENTRO DO ORÇAMENTO"))</f>
        <v>sem dados MP</v>
      </c>
    </row>
    <row r="14" customFormat="false" ht="15" hidden="false" customHeight="false" outlineLevel="0" collapsed="false">
      <c r="A14" s="19" t="s">
        <v>29</v>
      </c>
      <c r="B14" s="19" t="s">
        <v>9</v>
      </c>
      <c r="C14" s="20" t="n">
        <f aca="false">SUMIFS(Orcamento!L5:L18,Orcamento!D5:D18,A14)</f>
        <v>1500</v>
      </c>
      <c r="D14" s="20" t="n">
        <f aca="false">SUMIFS(MP_Transacoes!E:E,MP_Transacoes!D:D,A14,MP_Transacoes!G:G,"2025-03")</f>
        <v>0</v>
      </c>
      <c r="E14" s="20" t="n">
        <f aca="false">C14-D14</f>
        <v>1500</v>
      </c>
      <c r="F14" s="21" t="str">
        <f aca="false">IF(D14=0,"sem dados MP",IF(D14&gt;C14,"ESTOURADO","DENTRO DO ORÇAMENTO"))</f>
        <v>sem dados MP</v>
      </c>
    </row>
    <row r="15" customFormat="false" ht="15" hidden="false" customHeight="false" outlineLevel="0" collapsed="false">
      <c r="A15" s="19" t="s">
        <v>36</v>
      </c>
      <c r="B15" s="19" t="s">
        <v>7</v>
      </c>
      <c r="C15" s="20" t="n">
        <f aca="false">SUMIFS(Orcamento!H5:H18,Orcamento!D5:D18,A15)</f>
        <v>5012</v>
      </c>
      <c r="D15" s="20" t="n">
        <f aca="false">SUMIFS(MP_Transacoes!E:E,MP_Transacoes!D:D,A15,MP_Transacoes!G:G,"2025-01")</f>
        <v>0</v>
      </c>
      <c r="E15" s="20" t="n">
        <f aca="false">C15-D15</f>
        <v>5012</v>
      </c>
      <c r="F15" s="21" t="str">
        <f aca="false">IF(D15=0,"sem dados MP",IF(D15&gt;C15,"ESTOURADO","DENTRO DO ORÇAMENTO"))</f>
        <v>sem dados MP</v>
      </c>
    </row>
    <row r="16" customFormat="false" ht="15" hidden="false" customHeight="false" outlineLevel="0" collapsed="false">
      <c r="A16" s="19" t="s">
        <v>36</v>
      </c>
      <c r="B16" s="19" t="s">
        <v>8</v>
      </c>
      <c r="C16" s="20" t="n">
        <f aca="false">SUMIFS(Orcamento!J5:J18,Orcamento!D5:D18,A16)</f>
        <v>5012</v>
      </c>
      <c r="D16" s="20" t="n">
        <f aca="false">SUMIFS(MP_Transacoes!E:E,MP_Transacoes!D:D,A16,MP_Transacoes!G:G,"2025-02")</f>
        <v>0</v>
      </c>
      <c r="E16" s="20" t="n">
        <f aca="false">C16-D16</f>
        <v>5012</v>
      </c>
      <c r="F16" s="21" t="str">
        <f aca="false">IF(D16=0,"sem dados MP",IF(D16&gt;C16,"ESTOURADO","DENTRO DO ORÇAMENTO"))</f>
        <v>sem dados MP</v>
      </c>
    </row>
    <row r="17" customFormat="false" ht="15" hidden="false" customHeight="false" outlineLevel="0" collapsed="false">
      <c r="A17" s="19" t="s">
        <v>36</v>
      </c>
      <c r="B17" s="19" t="s">
        <v>9</v>
      </c>
      <c r="C17" s="20" t="n">
        <f aca="false">SUMIFS(Orcamento!L5:L18,Orcamento!D5:D18,A17)</f>
        <v>5012</v>
      </c>
      <c r="D17" s="20" t="n">
        <f aca="false">SUMIFS(MP_Transacoes!E:E,MP_Transacoes!D:D,A17,MP_Transacoes!G:G,"2025-03")</f>
        <v>0</v>
      </c>
      <c r="E17" s="20" t="n">
        <f aca="false">C17-D17</f>
        <v>5012</v>
      </c>
      <c r="F17" s="21" t="str">
        <f aca="false">IF(D17=0,"sem dados MP",IF(D17&gt;C17,"ESTOURADO","DENTRO DO ORÇAMENTO"))</f>
        <v>sem dados MP</v>
      </c>
    </row>
    <row r="19" customFormat="false" ht="15" hidden="false" customHeight="false" outlineLevel="0" collapsed="false">
      <c r="A19" s="22" t="s">
        <v>71</v>
      </c>
    </row>
  </sheetData>
  <mergeCells count="1">
    <mergeCell ref="A1:F1"/>
  </mergeCells>
  <conditionalFormatting sqref="F3:F17">
    <cfRule type="cellIs" priority="2" operator="equal" aboveAverage="0" equalAverage="0" bottom="0" percent="0" rank="0" text="" dxfId="2">
      <formula>"ESTOURADO"</formula>
    </cfRule>
    <cfRule type="cellIs" priority="3" operator="equal" aboveAverage="0" equalAverage="0" bottom="0" percent="0" rank="0" text="" dxfId="3">
      <formula>"DENTRO DO ORÇAMENTO"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2026-08-05T14:39:33Z</dcterms:created>
  <dc:creator>openpyxl</dc:creator>
  <dc:description/>
  <dc:language>en-US</dc:language>
  <cp:lastModifiedBy/>
  <dcterms:modified xsi:type="dcterms:W3CDTF">2026-08-05T14:42:47Z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